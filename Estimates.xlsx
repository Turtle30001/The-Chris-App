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ristoffermorgan/Desktop/"/>
    </mc:Choice>
  </mc:AlternateContent>
  <xr:revisionPtr revIDLastSave="0" documentId="13_ncr:1_{C587B3F3-841A-EB46-8238-D3A327002B78}" xr6:coauthVersionLast="47" xr6:coauthVersionMax="47" xr10:uidLastSave="{00000000-0000-0000-0000-000000000000}"/>
  <bookViews>
    <workbookView xWindow="0" yWindow="600" windowWidth="35840" windowHeight="21800" xr2:uid="{0842646E-0DCE-A74F-9046-6D8F9B8E36FB}"/>
  </bookViews>
  <sheets>
    <sheet name="EV Charger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34" i="1" l="1"/>
  <c r="C34" i="1"/>
  <c r="H33" i="1"/>
  <c r="H32" i="1"/>
  <c r="H31" i="1"/>
  <c r="H30" i="1"/>
  <c r="H29" i="1"/>
  <c r="H28" i="1"/>
  <c r="C33" i="1"/>
  <c r="C29" i="1"/>
  <c r="C30" i="1"/>
  <c r="C31" i="1" s="1"/>
  <c r="C32" i="1" s="1"/>
  <c r="H15" i="1"/>
  <c r="H14" i="1"/>
  <c r="H13" i="1"/>
  <c r="H12" i="1"/>
  <c r="H19" i="1"/>
  <c r="I16" i="1"/>
  <c r="I17" i="1" s="1"/>
  <c r="H18" i="1"/>
  <c r="H21" i="1" s="1"/>
  <c r="H11" i="1"/>
  <c r="H10" i="1"/>
  <c r="H9" i="1"/>
  <c r="H8" i="1"/>
  <c r="H7" i="1"/>
  <c r="H6" i="1"/>
  <c r="H5" i="1"/>
  <c r="H4" i="1"/>
  <c r="D14" i="1"/>
  <c r="D13" i="1"/>
  <c r="C18" i="1"/>
  <c r="C16" i="1"/>
  <c r="C15" i="1"/>
  <c r="C12" i="1"/>
  <c r="C11" i="1"/>
  <c r="C10" i="1"/>
  <c r="C9" i="1"/>
  <c r="C8" i="1"/>
  <c r="C7" i="1"/>
  <c r="C6" i="1"/>
  <c r="C5" i="1"/>
  <c r="C4" i="1"/>
</calcChain>
</file>

<file path=xl/sharedStrings.xml><?xml version="1.0" encoding="utf-8"?>
<sst xmlns="http://schemas.openxmlformats.org/spreadsheetml/2006/main" count="53" uniqueCount="31">
  <si>
    <t>Car Charger Estimate bid sheet</t>
  </si>
  <si>
    <t>Non-GFI</t>
  </si>
  <si>
    <t>50A 2 pole breaker</t>
  </si>
  <si>
    <t>#6 THHN</t>
  </si>
  <si>
    <t>Per Unit</t>
  </si>
  <si>
    <t>3/4" EMT</t>
  </si>
  <si>
    <t>3/4" EMT Connectors</t>
  </si>
  <si>
    <t>3/4" EMT One Hole Straps</t>
  </si>
  <si>
    <t>3/4" EMT Couplings</t>
  </si>
  <si>
    <t>3/4" EMT Plastic Bushings</t>
  </si>
  <si>
    <t>2" Hex Head Screw</t>
  </si>
  <si>
    <t>Total</t>
  </si>
  <si>
    <t>Consumable Charge</t>
  </si>
  <si>
    <t>Material Mark Up</t>
  </si>
  <si>
    <t>Premark up Cost</t>
  </si>
  <si>
    <t>Material Estimate</t>
  </si>
  <si>
    <t>Labor Charge</t>
  </si>
  <si>
    <t>Total Estimate</t>
  </si>
  <si>
    <t>With GFI</t>
  </si>
  <si>
    <t>50A GFI 2 pole breaker</t>
  </si>
  <si>
    <t>4 Sq Box</t>
  </si>
  <si>
    <t>Insdustrial Cover</t>
  </si>
  <si>
    <t>Range Outlet</t>
  </si>
  <si>
    <t>Profit calculator</t>
  </si>
  <si>
    <t>Minus Labor Cost</t>
  </si>
  <si>
    <t>Minus Material Cost</t>
  </si>
  <si>
    <t>Minus Tax</t>
  </si>
  <si>
    <t>Minus Mileage</t>
  </si>
  <si>
    <t>GFI</t>
  </si>
  <si>
    <t>Total Profit</t>
  </si>
  <si>
    <t>Profit 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</si>
</sst>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8" formatCode="&quot;$&quot;#,##0.00_);[Red]\(&quot;$&quot;#,##0.00\)"/>
    <numFmt numFmtId="164" formatCode="&quot;$&quot;#,##0.00"/>
  </numFmts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64" fontId="0" fillId="0" borderId="0" xfId="0" applyNumberFormat="1"/>
    <xf numFmtId="6" fontId="0" fillId="0" borderId="0" xfId="0" applyNumberFormat="1"/>
    <xf numFmtId="164" fontId="1" fillId="0" borderId="0" xfId="0" applyNumberFormat="1" applyFont="1"/>
    <xf numFmtId="6" fontId="1" fillId="0" borderId="0" xfId="0" applyNumberFormat="1" applyFont="1"/>
    <xf numFmtId="0" fontId="0" fillId="0" borderId="0" xfId="0" applyNumberFormat="1"/>
    <xf numFmtId="8" fontId="0" fillId="0" borderId="0" xfId="0" applyNumberFormat="1"/>
    <xf numFmtId="8" fontId="1" fillId="0" borderId="0" xfId="0" applyNumberFormat="1" applyFon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C6541-F0D4-7741-812F-62BD6514BC34}">
  <dimension ref="A1:I34"/>
  <sheetViews>
    <sheetView tabSelected="1" workbookViewId="0">
      <selection activeCell="H35" sqref="H35"/>
    </sheetView>
  </sheetViews>
  <sheetFormatPr baseColWidth="10" defaultRowHeight="16" x14ac:dyDescent="0.2"/>
  <sheetData>
    <row r="1" spans="1:9" x14ac:dyDescent="0.2">
      <c r="A1" t="s">
        <v>0</v>
      </c>
    </row>
    <row r="3" spans="1:9" x14ac:dyDescent="0.2">
      <c r="A3" s="1" t="s">
        <v>1</v>
      </c>
      <c r="D3" s="1" t="s">
        <v>4</v>
      </c>
      <c r="F3" s="1" t="s">
        <v>18</v>
      </c>
      <c r="I3" t="s">
        <v>4</v>
      </c>
    </row>
    <row r="4" spans="1:9" x14ac:dyDescent="0.2">
      <c r="A4" t="s">
        <v>2</v>
      </c>
      <c r="C4" s="2">
        <f>D4</f>
        <v>40</v>
      </c>
      <c r="D4" s="2">
        <v>40</v>
      </c>
      <c r="F4" t="s">
        <v>19</v>
      </c>
      <c r="H4" s="2">
        <f>I4</f>
        <v>169</v>
      </c>
      <c r="I4" s="2">
        <v>169</v>
      </c>
    </row>
    <row r="5" spans="1:9" x14ac:dyDescent="0.2">
      <c r="A5" t="s">
        <v>3</v>
      </c>
      <c r="C5" s="2">
        <f>(D5*30)</f>
        <v>60.3</v>
      </c>
      <c r="D5" s="2">
        <v>2.0099999999999998</v>
      </c>
      <c r="F5" t="s">
        <v>3</v>
      </c>
      <c r="H5" s="2">
        <f>(I5*30)</f>
        <v>60.3</v>
      </c>
      <c r="I5" s="2">
        <v>2.0099999999999998</v>
      </c>
    </row>
    <row r="6" spans="1:9" x14ac:dyDescent="0.2">
      <c r="A6" t="s">
        <v>5</v>
      </c>
      <c r="C6" s="2">
        <f>(D6*2)</f>
        <v>23.06</v>
      </c>
      <c r="D6" s="2">
        <v>11.53</v>
      </c>
      <c r="F6" t="s">
        <v>5</v>
      </c>
      <c r="H6" s="2">
        <f>(I6*2)</f>
        <v>23.06</v>
      </c>
      <c r="I6" s="2">
        <v>11.53</v>
      </c>
    </row>
    <row r="7" spans="1:9" x14ac:dyDescent="0.2">
      <c r="A7" t="s">
        <v>6</v>
      </c>
      <c r="C7" s="2">
        <f>(D7*2)</f>
        <v>2.1800000000000002</v>
      </c>
      <c r="D7" s="2">
        <v>1.0900000000000001</v>
      </c>
      <c r="F7" t="s">
        <v>6</v>
      </c>
      <c r="H7" s="2">
        <f>(I7*2)</f>
        <v>2.1800000000000002</v>
      </c>
      <c r="I7" s="2">
        <v>1.0900000000000001</v>
      </c>
    </row>
    <row r="8" spans="1:9" x14ac:dyDescent="0.2">
      <c r="A8" t="s">
        <v>8</v>
      </c>
      <c r="C8" s="2">
        <f>(D8*1)</f>
        <v>0.79</v>
      </c>
      <c r="D8" s="2">
        <v>0.79</v>
      </c>
      <c r="F8" t="s">
        <v>8</v>
      </c>
      <c r="H8" s="2">
        <f>I8</f>
        <v>0.79</v>
      </c>
      <c r="I8" s="2">
        <v>0.79</v>
      </c>
    </row>
    <row r="9" spans="1:9" x14ac:dyDescent="0.2">
      <c r="A9" t="s">
        <v>7</v>
      </c>
      <c r="C9" s="2">
        <f>(D9*3)</f>
        <v>1.29</v>
      </c>
      <c r="D9" s="2">
        <v>0.43</v>
      </c>
      <c r="F9" t="s">
        <v>7</v>
      </c>
      <c r="H9" s="2">
        <f>(I9*3)</f>
        <v>1.29</v>
      </c>
      <c r="I9" s="2">
        <v>0.43</v>
      </c>
    </row>
    <row r="10" spans="1:9" x14ac:dyDescent="0.2">
      <c r="A10" t="s">
        <v>9</v>
      </c>
      <c r="C10" s="2">
        <f>(D10*2)</f>
        <v>1.1399999999999999</v>
      </c>
      <c r="D10" s="2">
        <v>0.56999999999999995</v>
      </c>
      <c r="F10" t="s">
        <v>9</v>
      </c>
      <c r="H10" s="2">
        <f>(I10*2)</f>
        <v>1.1399999999999999</v>
      </c>
      <c r="I10" s="2">
        <v>0.56999999999999995</v>
      </c>
    </row>
    <row r="11" spans="1:9" x14ac:dyDescent="0.2">
      <c r="A11" t="s">
        <v>10</v>
      </c>
      <c r="C11" s="2">
        <f>(D11*1)</f>
        <v>6.98</v>
      </c>
      <c r="D11" s="2">
        <v>6.98</v>
      </c>
      <c r="F11" t="s">
        <v>10</v>
      </c>
      <c r="H11" s="2">
        <f>I11</f>
        <v>6.98</v>
      </c>
      <c r="I11" s="2">
        <v>6.98</v>
      </c>
    </row>
    <row r="12" spans="1:9" x14ac:dyDescent="0.2">
      <c r="A12" s="1" t="s">
        <v>14</v>
      </c>
      <c r="C12" s="4">
        <f>SUM(C4:C11)</f>
        <v>135.74</v>
      </c>
      <c r="D12" s="2"/>
      <c r="F12" t="s">
        <v>20</v>
      </c>
      <c r="H12" s="2">
        <f>I12</f>
        <v>6.74</v>
      </c>
      <c r="I12" s="2">
        <v>6.74</v>
      </c>
    </row>
    <row r="13" spans="1:9" x14ac:dyDescent="0.2">
      <c r="A13" t="s">
        <v>12</v>
      </c>
      <c r="C13" s="6">
        <v>1.03</v>
      </c>
      <c r="D13" s="2">
        <f>(C12*0.03)</f>
        <v>4.0722000000000005</v>
      </c>
      <c r="F13" t="s">
        <v>21</v>
      </c>
      <c r="H13" s="2">
        <f>I13</f>
        <v>3.93</v>
      </c>
      <c r="I13" s="2">
        <v>3.93</v>
      </c>
    </row>
    <row r="14" spans="1:9" x14ac:dyDescent="0.2">
      <c r="A14" t="s">
        <v>13</v>
      </c>
      <c r="C14" s="6">
        <v>1.5</v>
      </c>
      <c r="D14" s="2">
        <f>(C12+D13)*0.5</f>
        <v>69.906100000000009</v>
      </c>
      <c r="F14" t="s">
        <v>22</v>
      </c>
      <c r="H14" s="2">
        <f>I14</f>
        <v>39.979999999999997</v>
      </c>
      <c r="I14" s="2">
        <v>39.979999999999997</v>
      </c>
    </row>
    <row r="15" spans="1:9" x14ac:dyDescent="0.2">
      <c r="A15" s="1" t="s">
        <v>15</v>
      </c>
      <c r="C15" s="4">
        <f>(C12*C13)*C14</f>
        <v>209.71830000000003</v>
      </c>
      <c r="D15" s="2"/>
      <c r="F15" s="1" t="s">
        <v>14</v>
      </c>
      <c r="H15" s="4">
        <f>SUM(H4:H14)</f>
        <v>315.39000000000004</v>
      </c>
    </row>
    <row r="16" spans="1:9" x14ac:dyDescent="0.2">
      <c r="A16" s="1" t="s">
        <v>16</v>
      </c>
      <c r="C16" s="5">
        <f>(D16*4)</f>
        <v>490</v>
      </c>
      <c r="D16" s="3">
        <v>122.5</v>
      </c>
      <c r="F16" t="s">
        <v>12</v>
      </c>
      <c r="H16">
        <v>1.03</v>
      </c>
      <c r="I16" s="2">
        <f>(H15*0.03)</f>
        <v>9.4617000000000004</v>
      </c>
    </row>
    <row r="17" spans="1:9" x14ac:dyDescent="0.2">
      <c r="F17" t="s">
        <v>13</v>
      </c>
      <c r="H17">
        <v>1.5</v>
      </c>
      <c r="I17" s="2">
        <f>(H15+I16)*0.5</f>
        <v>162.42585000000003</v>
      </c>
    </row>
    <row r="18" spans="1:9" x14ac:dyDescent="0.2">
      <c r="A18" s="1" t="s">
        <v>17</v>
      </c>
      <c r="C18" s="4">
        <f>ROUNDDOWN(SUM(C15:C16), 0)</f>
        <v>699</v>
      </c>
      <c r="F18" s="1" t="s">
        <v>15</v>
      </c>
      <c r="H18" s="4">
        <f>(H15*H16)*H17</f>
        <v>487.27755000000008</v>
      </c>
    </row>
    <row r="19" spans="1:9" x14ac:dyDescent="0.2">
      <c r="F19" s="1" t="s">
        <v>16</v>
      </c>
      <c r="H19" s="5">
        <f>(I19*4)</f>
        <v>490</v>
      </c>
      <c r="I19" s="3">
        <v>122.5</v>
      </c>
    </row>
    <row r="21" spans="1:9" x14ac:dyDescent="0.2">
      <c r="F21" s="1" t="s">
        <v>17</v>
      </c>
      <c r="H21" s="4">
        <f>ROUNDDOWN((H18+H19), 0)</f>
        <v>977</v>
      </c>
    </row>
    <row r="26" spans="1:9" x14ac:dyDescent="0.2">
      <c r="A26" s="1" t="s">
        <v>23</v>
      </c>
    </row>
    <row r="27" spans="1:9" x14ac:dyDescent="0.2">
      <c r="A27" s="1" t="s">
        <v>1</v>
      </c>
      <c r="F27" s="1" t="s">
        <v>28</v>
      </c>
    </row>
    <row r="28" spans="1:9" x14ac:dyDescent="0.2">
      <c r="A28" s="1" t="s">
        <v>11</v>
      </c>
      <c r="C28" s="2">
        <v>699</v>
      </c>
      <c r="F28" s="1" t="s">
        <v>11</v>
      </c>
      <c r="H28" s="2">
        <f>H21</f>
        <v>977</v>
      </c>
    </row>
    <row r="29" spans="1:9" x14ac:dyDescent="0.2">
      <c r="A29" s="1" t="s">
        <v>25</v>
      </c>
      <c r="C29" s="2">
        <f>C28-C12</f>
        <v>563.26</v>
      </c>
      <c r="F29" s="1" t="s">
        <v>25</v>
      </c>
      <c r="H29" s="2">
        <f>H28-H15</f>
        <v>661.6099999999999</v>
      </c>
    </row>
    <row r="30" spans="1:9" x14ac:dyDescent="0.2">
      <c r="A30" s="1" t="s">
        <v>24</v>
      </c>
      <c r="C30" s="3">
        <f>(C29-(C16/2))</f>
        <v>318.26</v>
      </c>
      <c r="F30" s="1" t="s">
        <v>24</v>
      </c>
      <c r="H30" s="2">
        <f>H29-(H19/2)</f>
        <v>416.6099999999999</v>
      </c>
    </row>
    <row r="31" spans="1:9" x14ac:dyDescent="0.2">
      <c r="A31" s="1" t="s">
        <v>26</v>
      </c>
      <c r="C31" s="7">
        <f>(C30-(C18*0.3))</f>
        <v>108.56</v>
      </c>
      <c r="F31" s="1" t="s">
        <v>26</v>
      </c>
      <c r="H31" s="2">
        <f>H30-(H21*0.3)</f>
        <v>123.50999999999993</v>
      </c>
    </row>
    <row r="32" spans="1:9" x14ac:dyDescent="0.2">
      <c r="A32" s="1" t="s">
        <v>27</v>
      </c>
      <c r="C32" s="7">
        <f>(C31-(0.77*15))</f>
        <v>97.01</v>
      </c>
      <c r="F32" s="1" t="s">
        <v>27</v>
      </c>
      <c r="H32" s="2">
        <f>H31-(0.77*15)</f>
        <v>111.95999999999994</v>
      </c>
    </row>
    <row r="33" spans="1:8" x14ac:dyDescent="0.2">
      <c r="A33" s="1" t="s">
        <v>29</v>
      </c>
      <c r="C33" s="8">
        <f>C32</f>
        <v>97.01</v>
      </c>
      <c r="F33" s="1" t="s">
        <v>29</v>
      </c>
      <c r="H33" s="4">
        <f>H32</f>
        <v>111.95999999999994</v>
      </c>
    </row>
    <row r="34" spans="1:8" x14ac:dyDescent="0.2">
      <c r="A34" s="1" t="s">
        <v>30</v>
      </c>
      <c r="C34" s="9">
        <f>C33/C18</f>
        <v>0.13878397711015739</v>
      </c>
      <c r="F34" s="1" t="s">
        <v>30</v>
      </c>
      <c r="H34" s="9">
        <f>H33/H21</f>
        <v>0.11459570112589554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 Chargers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Morgan</dc:creator>
  <cp:lastModifiedBy>Chris Morgan</cp:lastModifiedBy>
  <dcterms:created xsi:type="dcterms:W3CDTF">2026-05-25T13:59:27Z</dcterms:created>
  <dcterms:modified xsi:type="dcterms:W3CDTF">2026-05-26T15:58:47Z</dcterms:modified>
</cp:coreProperties>
</file>